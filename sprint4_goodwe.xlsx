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8C16BF18-6713-45EB-A462-275BDD40DBD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rte 1" sheetId="1" r:id="rId1"/>
    <sheet name="Parte 2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" l="1"/>
  <c r="D30" i="2" s="1"/>
  <c r="D35" i="2" s="1"/>
  <c r="C26" i="2"/>
  <c r="C30" i="2" s="1"/>
  <c r="C35" i="2" s="1"/>
  <c r="B26" i="2"/>
  <c r="B30" i="2" s="1"/>
  <c r="B35" i="2" s="1"/>
  <c r="D24" i="2"/>
  <c r="D29" i="2" s="1"/>
  <c r="D34" i="2" s="1"/>
  <c r="C24" i="2"/>
  <c r="C29" i="2" s="1"/>
  <c r="C34" i="2" s="1"/>
  <c r="B24" i="2"/>
  <c r="B29" i="2" s="1"/>
  <c r="B34" i="2" s="1"/>
  <c r="E21" i="2"/>
  <c r="E26" i="2" s="1"/>
  <c r="E30" i="2" s="1"/>
  <c r="E35" i="2" s="1"/>
  <c r="E20" i="2"/>
  <c r="D20" i="2"/>
  <c r="D25" i="2" s="1"/>
  <c r="D31" i="2" s="1"/>
  <c r="C20" i="2"/>
  <c r="C25" i="2" s="1"/>
  <c r="C31" i="2" s="1"/>
  <c r="C36" i="2" s="1"/>
  <c r="B20" i="2"/>
  <c r="B25" i="2" s="1"/>
  <c r="B31" i="2" s="1"/>
  <c r="B36" i="2" s="1"/>
  <c r="E19" i="2"/>
  <c r="E24" i="2" s="1"/>
  <c r="E29" i="2" s="1"/>
  <c r="E34" i="2" s="1"/>
  <c r="F12" i="1"/>
  <c r="E12" i="1"/>
  <c r="D12" i="1"/>
  <c r="C12" i="1"/>
  <c r="B12" i="1"/>
  <c r="F11" i="1"/>
  <c r="F15" i="1" s="1"/>
  <c r="E11" i="1"/>
  <c r="E15" i="1" s="1"/>
  <c r="D11" i="1"/>
  <c r="D15" i="1" s="1"/>
  <c r="C11" i="1"/>
  <c r="C15" i="1" s="1"/>
  <c r="B11" i="1"/>
  <c r="B15" i="1" s="1"/>
  <c r="D36" i="2" l="1"/>
  <c r="E25" i="2"/>
  <c r="E31" i="2" s="1"/>
  <c r="E36" i="2" s="1"/>
  <c r="B39" i="2" s="1"/>
  <c r="B40" i="2"/>
  <c r="B46" i="2" l="1"/>
  <c r="C46" i="2" s="1"/>
  <c r="B41" i="2"/>
  <c r="A49" i="2" l="1"/>
  <c r="B45" i="2"/>
  <c r="C45" i="2" s="1"/>
  <c r="B44" i="2"/>
  <c r="C44" i="2" s="1"/>
  <c r="B16" i="1"/>
  <c r="C16" i="1"/>
</calcChain>
</file>

<file path=xl/sharedStrings.xml><?xml version="1.0" encoding="utf-8"?>
<sst xmlns="http://schemas.openxmlformats.org/spreadsheetml/2006/main" count="94" uniqueCount="66">
  <si>
    <t>CHALLENGE SPRINT IV — PARTE 1: ENERGIA SOLAR E VETORES</t>
  </si>
  <si>
    <t>Legenda: células AMARELAS com texto azul = entradas (edite). Células pretas = fórmulas.</t>
  </si>
  <si>
    <t>Vetor</t>
  </si>
  <si>
    <t>8h–10h</t>
  </si>
  <si>
    <t>10h–12h</t>
  </si>
  <si>
    <t>12h–14h</t>
  </si>
  <si>
    <t>14h–16h</t>
  </si>
  <si>
    <t>16h–18h</t>
  </si>
  <si>
    <t>Unidade</t>
  </si>
  <si>
    <t>p  (preço da rede)</t>
  </si>
  <si>
    <t>R$/kWh</t>
  </si>
  <si>
    <t>e  (energia necessária)</t>
  </si>
  <si>
    <t>kWh</t>
  </si>
  <si>
    <t>s  (energia solar)</t>
  </si>
  <si>
    <t>a) VETOR r — energia comprada da rede</t>
  </si>
  <si>
    <t>Regra: r_i = máx(0, e_i − s_i)</t>
  </si>
  <si>
    <t>r  (energia da rede)</t>
  </si>
  <si>
    <t>Sobra solar (e_i &lt; s_i)</t>
  </si>
  <si>
    <t>b) CUSTO — produto escalar  C = p · r</t>
  </si>
  <si>
    <t>Parcelas  p_i · r_i</t>
  </si>
  <si>
    <t>R$</t>
  </si>
  <si>
    <t>Custo total C = Σ p_i·r_i</t>
  </si>
  <si>
    <t>c) SIGNIFICADO E UNIDADE</t>
  </si>
  <si>
    <t>Cada parcela p_i·r_i é o custo da energia comprada da rede naquele intervalo: (R$/kWh) × kWh = R$.</t>
  </si>
  <si>
    <t>Os kWh se cancelam, então o produto escalar tem unidade de reais (R$): é o custo diário da rede.</t>
  </si>
  <si>
    <t>Períodos em que a solar cobre toda a demanda têm r_i = 0 e parcela nula.</t>
  </si>
  <si>
    <t>CHALLENGE SPRINT IV — PARTE 2: POTÊNCIA DOS CARREGADORES (12h–14h)</t>
  </si>
  <si>
    <t>Variáveis: x = veículos a 7 kW, y = veículos a 11 kW, z = veículos a 22 kW. Dados do enunciado em azul/amarelo; o restante é fórmula.</t>
  </si>
  <si>
    <t>DADOS DO ENUNCIADO</t>
  </si>
  <si>
    <t>Nº de veículos</t>
  </si>
  <si>
    <t>veículos</t>
  </si>
  <si>
    <t>Potência total</t>
  </si>
  <si>
    <t>kW</t>
  </si>
  <si>
    <t>Veículos em 11 kW ou 22 kW</t>
  </si>
  <si>
    <t>Nível 1</t>
  </si>
  <si>
    <t>Nível 2</t>
  </si>
  <si>
    <t>Nível 3</t>
  </si>
  <si>
    <t>a) SISTEMA LINEAR</t>
  </si>
  <si>
    <t>(1) x + y + z = 6      → total de veículos</t>
  </si>
  <si>
    <t>(2) 7x + 11y + 22z = 69 → potência total (kW)</t>
  </si>
  <si>
    <t>(3) y + z = 4           → veículos em 11 kW ou 22 kW</t>
  </si>
  <si>
    <t>b) MATRIZ AUMENTADA [A | b]  (montada a partir dos dados)</t>
  </si>
  <si>
    <t>Passo 0 — matriz inicial</t>
  </si>
  <si>
    <t>x</t>
  </si>
  <si>
    <t>y</t>
  </si>
  <si>
    <t>z</t>
  </si>
  <si>
    <t>| b</t>
  </si>
  <si>
    <t>L1</t>
  </si>
  <si>
    <t>L2</t>
  </si>
  <si>
    <t>L3</t>
  </si>
  <si>
    <t>Passo 1 — L2 ← L2 − 7·L1</t>
  </si>
  <si>
    <t>Passo 2 — troca L2 ↔ L3 (pivô 1 na coluna y)</t>
  </si>
  <si>
    <t>Passo 3 — L3 ← L3 − 4·L2  (forma escalonada)</t>
  </si>
  <si>
    <t>multiplicador = 4</t>
  </si>
  <si>
    <t>SUBSTITUIÇÃO REGRESSIVA</t>
  </si>
  <si>
    <t>z = b3 / a33</t>
  </si>
  <si>
    <t>veículos a 22 kW</t>
  </si>
  <si>
    <t>y = b2 − z</t>
  </si>
  <si>
    <t>veículos a 11 kW</t>
  </si>
  <si>
    <t>x = b1 − y − z</t>
  </si>
  <si>
    <t>veículos a 7 kW</t>
  </si>
  <si>
    <t>VERIFICAÇÃO</t>
  </si>
  <si>
    <t>x + y + z</t>
  </si>
  <si>
    <t>7x + 11y + 22z (kW)</t>
  </si>
  <si>
    <t>y + z</t>
  </si>
  <si>
    <t>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</si>
</sst>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R$ &quot;#,##0.00"/>
    <numFmt numFmtId="166" formatCode="0.##"/>
  </numFmts>
  <fonts count="5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2" fontId="4" fillId="3" borderId="1" xfId="0" applyNumberFormat="1" applyFont="1" applyFill="1" applyBorder="1"/>
    <xf numFmtId="0" fontId="2" fillId="0" borderId="0" xfId="0" applyFont="1"/>
    <xf numFmtId="164" fontId="4" fillId="3" borderId="1" xfId="0" applyNumberFormat="1" applyFont="1" applyFill="1" applyBorder="1"/>
    <xf numFmtId="164" fontId="2" fillId="0" borderId="1" xfId="0" applyNumberFormat="1" applyFont="1" applyBorder="1"/>
    <xf numFmtId="164" fontId="2" fillId="0" borderId="0" xfId="0" applyNumberFormat="1" applyFont="1"/>
    <xf numFmtId="165" fontId="2" fillId="0" borderId="1" xfId="0" applyNumberFormat="1" applyFont="1" applyBorder="1"/>
    <xf numFmtId="165" fontId="3" fillId="0" borderId="1" xfId="0" applyNumberFormat="1" applyFont="1" applyBorder="1"/>
    <xf numFmtId="0" fontId="4" fillId="3" borderId="1" xfId="0" applyFont="1" applyFill="1" applyBorder="1"/>
    <xf numFmtId="166" fontId="2" fillId="0" borderId="1" xfId="0" applyNumberFormat="1" applyFont="1" applyBorder="1"/>
    <xf numFmtId="166" fontId="3" fillId="0" borderId="1" xfId="0" applyNumberFormat="1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10" zoomScaleNormal="100" workbookViewId="0">
      <selection activeCell="A21" sqref="A21:G21"/>
    </sheetView>
  </sheetViews>
  <sheetFormatPr defaultColWidth="8.7109375" defaultRowHeight="15"/>
  <cols>
    <col min="1" max="1" width="23.85546875" customWidth="1"/>
    <col min="2" max="2" width="15.28515625" customWidth="1"/>
    <col min="3" max="6" width="13" customWidth="1"/>
    <col min="7" max="7" width="12" customWidth="1"/>
  </cols>
  <sheetData>
    <row r="1" spans="1:7" ht="16.149999999999999" customHeight="1">
      <c r="A1" s="14" t="s">
        <v>0</v>
      </c>
      <c r="B1" s="14"/>
      <c r="C1" s="14"/>
      <c r="D1" s="14"/>
      <c r="E1" s="14"/>
      <c r="F1" s="14"/>
      <c r="G1" s="14"/>
    </row>
    <row r="2" spans="1:7">
      <c r="A2" s="15" t="s">
        <v>1</v>
      </c>
      <c r="B2" s="15"/>
      <c r="C2" s="15"/>
      <c r="D2" s="15"/>
      <c r="E2" s="15"/>
      <c r="F2" s="15"/>
      <c r="G2" s="15"/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>
      <c r="A5" s="3" t="s">
        <v>9</v>
      </c>
      <c r="B5" s="4">
        <v>0.8</v>
      </c>
      <c r="C5" s="4">
        <v>0.95</v>
      </c>
      <c r="D5" s="4">
        <v>1.1000000000000001</v>
      </c>
      <c r="E5" s="4">
        <v>1.05</v>
      </c>
      <c r="F5" s="4">
        <v>0.9</v>
      </c>
      <c r="G5" s="5" t="s">
        <v>10</v>
      </c>
    </row>
    <row r="6" spans="1:7">
      <c r="A6" s="3" t="s">
        <v>11</v>
      </c>
      <c r="B6" s="6">
        <v>40</v>
      </c>
      <c r="C6" s="6">
        <v>60</v>
      </c>
      <c r="D6" s="6">
        <v>80</v>
      </c>
      <c r="E6" s="6">
        <v>60</v>
      </c>
      <c r="F6" s="6">
        <v>40</v>
      </c>
      <c r="G6" s="5" t="s">
        <v>12</v>
      </c>
    </row>
    <row r="7" spans="1:7">
      <c r="A7" s="3" t="s">
        <v>13</v>
      </c>
      <c r="B7" s="6">
        <v>10</v>
      </c>
      <c r="C7" s="6">
        <v>50</v>
      </c>
      <c r="D7" s="6">
        <v>90</v>
      </c>
      <c r="E7" s="6">
        <v>55</v>
      </c>
      <c r="F7" s="6">
        <v>5</v>
      </c>
      <c r="G7" s="5" t="s">
        <v>12</v>
      </c>
    </row>
    <row r="9" spans="1:7">
      <c r="A9" s="16" t="s">
        <v>14</v>
      </c>
      <c r="B9" s="16"/>
    </row>
    <row r="10" spans="1:7">
      <c r="A10" s="5" t="s">
        <v>15</v>
      </c>
    </row>
    <row r="11" spans="1:7">
      <c r="A11" s="3" t="s">
        <v>16</v>
      </c>
      <c r="B11" s="7">
        <f>MAX(0,B6-B7)</f>
        <v>30</v>
      </c>
      <c r="C11" s="7">
        <f>MAX(0,C6-C7)</f>
        <v>10</v>
      </c>
      <c r="D11" s="7">
        <f>MAX(0,D6-D7)</f>
        <v>0</v>
      </c>
      <c r="E11" s="7">
        <f>MAX(0,E6-E7)</f>
        <v>5</v>
      </c>
      <c r="F11" s="7">
        <f>MAX(0,F6-F7)</f>
        <v>35</v>
      </c>
      <c r="G11" t="s">
        <v>12</v>
      </c>
    </row>
    <row r="12" spans="1:7">
      <c r="A12" s="5" t="s">
        <v>17</v>
      </c>
      <c r="B12" s="8">
        <f>MAX(0,B7-B6)</f>
        <v>0</v>
      </c>
      <c r="C12" s="8">
        <f>MAX(0,C7-C6)</f>
        <v>0</v>
      </c>
      <c r="D12" s="8">
        <f>MAX(0,D7-D6)</f>
        <v>10</v>
      </c>
      <c r="E12" s="8">
        <f>MAX(0,E7-E6)</f>
        <v>0</v>
      </c>
      <c r="F12" s="8">
        <f>MAX(0,F7-F6)</f>
        <v>0</v>
      </c>
      <c r="G12" t="s">
        <v>12</v>
      </c>
    </row>
    <row r="14" spans="1:7">
      <c r="A14" s="16" t="s">
        <v>18</v>
      </c>
      <c r="B14" s="16"/>
    </row>
    <row r="15" spans="1:7">
      <c r="A15" s="3" t="s">
        <v>19</v>
      </c>
      <c r="B15" s="9">
        <f>B5*B11</f>
        <v>24</v>
      </c>
      <c r="C15" s="9">
        <f>C5*C11</f>
        <v>9.5</v>
      </c>
      <c r="D15" s="9">
        <f>D5*D11</f>
        <v>0</v>
      </c>
      <c r="E15" s="9">
        <f>E5*E11</f>
        <v>5.25</v>
      </c>
      <c r="F15" s="9">
        <f>F5*F11</f>
        <v>31.5</v>
      </c>
      <c r="G15" t="s">
        <v>20</v>
      </c>
    </row>
    <row r="16" spans="1:7">
      <c r="A16" s="3" t="s">
        <v>21</v>
      </c>
      <c r="B16" s="10">
        <f>SUMPRODUCT(B5:F5,B11:F11)</f>
        <v>70.25</v>
      </c>
      <c r="C16" s="5" t="str">
        <f>IF(ABS(B16-SUM(B15:F15))&lt;0.000001,"conferido: soma das parcelas = produto escalar","ERRO")</f>
        <v>conferido: soma das parcelas = produto escalar</v>
      </c>
    </row>
    <row r="18" spans="1:7">
      <c r="A18" s="16" t="s">
        <v>22</v>
      </c>
      <c r="B18" s="16"/>
    </row>
    <row r="19" spans="1:7">
      <c r="A19" s="17" t="s">
        <v>23</v>
      </c>
      <c r="B19" s="17"/>
      <c r="C19" s="17"/>
      <c r="D19" s="17"/>
      <c r="E19" s="17"/>
      <c r="F19" s="17"/>
      <c r="G19" s="17"/>
    </row>
    <row r="20" spans="1:7">
      <c r="A20" s="17" t="s">
        <v>24</v>
      </c>
      <c r="B20" s="17"/>
      <c r="C20" s="17"/>
      <c r="D20" s="17"/>
      <c r="E20" s="17"/>
      <c r="F20" s="17"/>
      <c r="G20" s="17"/>
    </row>
    <row r="21" spans="1:7">
      <c r="A21" s="17" t="s">
        <v>25</v>
      </c>
      <c r="B21" s="17"/>
      <c r="C21" s="17"/>
      <c r="D21" s="17"/>
      <c r="E21" s="17"/>
      <c r="F21" s="17"/>
      <c r="G21" s="17"/>
    </row>
  </sheetData>
  <mergeCells count="8">
    <mergeCell ref="A19:G19"/>
    <mergeCell ref="A20:G20"/>
    <mergeCell ref="A21:G21"/>
    <mergeCell ref="A2:G2"/>
    <mergeCell ref="A1:G1"/>
    <mergeCell ref="A9:B9"/>
    <mergeCell ref="A14:B14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zoomScaleNormal="100" workbookViewId="0"/>
  </sheetViews>
  <sheetFormatPr defaultColWidth="8.7109375" defaultRowHeight="15"/>
  <cols>
    <col min="1" max="1" width="46" customWidth="1"/>
    <col min="2" max="5" width="12" customWidth="1"/>
    <col min="6" max="6" width="20" customWidth="1"/>
  </cols>
  <sheetData>
    <row r="1" spans="1:3" ht="16.149999999999999">
      <c r="A1" s="1" t="s">
        <v>26</v>
      </c>
    </row>
    <row r="2" spans="1:3">
      <c r="A2" s="5" t="s">
        <v>27</v>
      </c>
    </row>
    <row r="4" spans="1:3">
      <c r="A4" s="3" t="s">
        <v>28</v>
      </c>
    </row>
    <row r="5" spans="1:3">
      <c r="A5" s="5" t="s">
        <v>29</v>
      </c>
      <c r="B5" s="11">
        <v>6</v>
      </c>
      <c r="C5" s="5" t="s">
        <v>30</v>
      </c>
    </row>
    <row r="6" spans="1:3">
      <c r="A6" s="5" t="s">
        <v>31</v>
      </c>
      <c r="B6" s="11">
        <v>69</v>
      </c>
      <c r="C6" s="5" t="s">
        <v>32</v>
      </c>
    </row>
    <row r="7" spans="1:3">
      <c r="A7" s="5" t="s">
        <v>33</v>
      </c>
      <c r="B7" s="11">
        <v>4</v>
      </c>
      <c r="C7" s="5" t="s">
        <v>30</v>
      </c>
    </row>
    <row r="8" spans="1:3">
      <c r="A8" s="5" t="s">
        <v>34</v>
      </c>
      <c r="B8" s="11">
        <v>7</v>
      </c>
      <c r="C8" s="5" t="s">
        <v>32</v>
      </c>
    </row>
    <row r="9" spans="1:3">
      <c r="A9" s="5" t="s">
        <v>35</v>
      </c>
      <c r="B9" s="11">
        <v>11</v>
      </c>
      <c r="C9" s="5" t="s">
        <v>32</v>
      </c>
    </row>
    <row r="10" spans="1:3">
      <c r="A10" s="5" t="s">
        <v>36</v>
      </c>
      <c r="B10" s="11">
        <v>22</v>
      </c>
      <c r="C10" s="5" t="s">
        <v>32</v>
      </c>
    </row>
    <row r="12" spans="1:3">
      <c r="A12" s="3" t="s">
        <v>37</v>
      </c>
    </row>
    <row r="13" spans="1:3">
      <c r="A13" s="5" t="s">
        <v>38</v>
      </c>
    </row>
    <row r="14" spans="1:3">
      <c r="A14" s="5" t="s">
        <v>39</v>
      </c>
    </row>
    <row r="15" spans="1:3">
      <c r="A15" s="5" t="s">
        <v>40</v>
      </c>
    </row>
    <row r="17" spans="1:5">
      <c r="A17" s="3" t="s">
        <v>41</v>
      </c>
    </row>
    <row r="18" spans="1:5">
      <c r="A18" s="3" t="s">
        <v>42</v>
      </c>
      <c r="B18" s="2" t="s">
        <v>43</v>
      </c>
      <c r="C18" s="2" t="s">
        <v>44</v>
      </c>
      <c r="D18" s="2" t="s">
        <v>45</v>
      </c>
      <c r="E18" s="2" t="s">
        <v>46</v>
      </c>
    </row>
    <row r="19" spans="1:5">
      <c r="A19" s="5" t="s">
        <v>47</v>
      </c>
      <c r="B19" s="12">
        <v>1</v>
      </c>
      <c r="C19" s="12">
        <v>1</v>
      </c>
      <c r="D19" s="12">
        <v>1</v>
      </c>
      <c r="E19" s="12">
        <f>B5</f>
        <v>6</v>
      </c>
    </row>
    <row r="20" spans="1:5">
      <c r="A20" s="5" t="s">
        <v>48</v>
      </c>
      <c r="B20" s="12">
        <f>B8</f>
        <v>7</v>
      </c>
      <c r="C20" s="12">
        <f>B9</f>
        <v>11</v>
      </c>
      <c r="D20" s="12">
        <f>B10</f>
        <v>22</v>
      </c>
      <c r="E20" s="12">
        <f>B6</f>
        <v>69</v>
      </c>
    </row>
    <row r="21" spans="1:5">
      <c r="A21" s="5" t="s">
        <v>49</v>
      </c>
      <c r="B21" s="12">
        <v>0</v>
      </c>
      <c r="C21" s="12">
        <v>1</v>
      </c>
      <c r="D21" s="12">
        <v>1</v>
      </c>
      <c r="E21" s="12">
        <f>B7</f>
        <v>4</v>
      </c>
    </row>
    <row r="23" spans="1:5">
      <c r="A23" s="3" t="s">
        <v>50</v>
      </c>
      <c r="B23" s="2" t="s">
        <v>43</v>
      </c>
      <c r="C23" s="2" t="s">
        <v>44</v>
      </c>
      <c r="D23" s="2" t="s">
        <v>45</v>
      </c>
      <c r="E23" s="2" t="s">
        <v>46</v>
      </c>
    </row>
    <row r="24" spans="1:5">
      <c r="A24" s="5" t="s">
        <v>47</v>
      </c>
      <c r="B24" s="12">
        <f>B19</f>
        <v>1</v>
      </c>
      <c r="C24" s="12">
        <f>C19</f>
        <v>1</v>
      </c>
      <c r="D24" s="12">
        <f>D19</f>
        <v>1</v>
      </c>
      <c r="E24" s="12">
        <f>E19</f>
        <v>6</v>
      </c>
    </row>
    <row r="25" spans="1:5">
      <c r="A25" s="5" t="s">
        <v>48</v>
      </c>
      <c r="B25" s="12">
        <f>B20-$B$8*B19</f>
        <v>0</v>
      </c>
      <c r="C25" s="12">
        <f>C20-$B$8*C19</f>
        <v>4</v>
      </c>
      <c r="D25" s="12">
        <f>D20-$B$8*D19</f>
        <v>15</v>
      </c>
      <c r="E25" s="12">
        <f>E20-$B$8*E19</f>
        <v>27</v>
      </c>
    </row>
    <row r="26" spans="1:5">
      <c r="A26" s="5" t="s">
        <v>49</v>
      </c>
      <c r="B26" s="12">
        <f>B21</f>
        <v>0</v>
      </c>
      <c r="C26" s="12">
        <f>C21</f>
        <v>1</v>
      </c>
      <c r="D26" s="12">
        <f>D21</f>
        <v>1</v>
      </c>
      <c r="E26" s="12">
        <f>E21</f>
        <v>4</v>
      </c>
    </row>
    <row r="28" spans="1:5">
      <c r="A28" s="3" t="s">
        <v>51</v>
      </c>
      <c r="B28" s="2" t="s">
        <v>43</v>
      </c>
      <c r="C28" s="2" t="s">
        <v>44</v>
      </c>
      <c r="D28" s="2" t="s">
        <v>45</v>
      </c>
      <c r="E28" s="2" t="s">
        <v>46</v>
      </c>
    </row>
    <row r="29" spans="1:5">
      <c r="A29" s="5" t="s">
        <v>47</v>
      </c>
      <c r="B29" s="12">
        <f>B24</f>
        <v>1</v>
      </c>
      <c r="C29" s="12">
        <f>C24</f>
        <v>1</v>
      </c>
      <c r="D29" s="12">
        <f>D24</f>
        <v>1</v>
      </c>
      <c r="E29" s="12">
        <f>E24</f>
        <v>6</v>
      </c>
    </row>
    <row r="30" spans="1:5">
      <c r="A30" s="5" t="s">
        <v>48</v>
      </c>
      <c r="B30" s="12">
        <f>B26</f>
        <v>0</v>
      </c>
      <c r="C30" s="12">
        <f>C26</f>
        <v>1</v>
      </c>
      <c r="D30" s="12">
        <f>D26</f>
        <v>1</v>
      </c>
      <c r="E30" s="12">
        <f>E26</f>
        <v>4</v>
      </c>
    </row>
    <row r="31" spans="1:5">
      <c r="A31" s="5" t="s">
        <v>49</v>
      </c>
      <c r="B31" s="12">
        <f>B25</f>
        <v>0</v>
      </c>
      <c r="C31" s="12">
        <f>C25</f>
        <v>4</v>
      </c>
      <c r="D31" s="12">
        <f>D25</f>
        <v>15</v>
      </c>
      <c r="E31" s="12">
        <f>E25</f>
        <v>27</v>
      </c>
    </row>
    <row r="33" spans="1:6">
      <c r="A33" s="3" t="s">
        <v>52</v>
      </c>
      <c r="B33" s="2" t="s">
        <v>43</v>
      </c>
      <c r="C33" s="2" t="s">
        <v>44</v>
      </c>
      <c r="D33" s="2" t="s">
        <v>45</v>
      </c>
      <c r="E33" s="2" t="s">
        <v>46</v>
      </c>
    </row>
    <row r="34" spans="1:6">
      <c r="A34" s="5" t="s">
        <v>47</v>
      </c>
      <c r="B34" s="12">
        <f>B29</f>
        <v>1</v>
      </c>
      <c r="C34" s="12">
        <f>C29</f>
        <v>1</v>
      </c>
      <c r="D34" s="12">
        <f>D29</f>
        <v>1</v>
      </c>
      <c r="E34" s="12">
        <f>E29</f>
        <v>6</v>
      </c>
    </row>
    <row r="35" spans="1:6">
      <c r="A35" s="5" t="s">
        <v>48</v>
      </c>
      <c r="B35" s="12">
        <f>B30</f>
        <v>0</v>
      </c>
      <c r="C35" s="12">
        <f>C30</f>
        <v>1</v>
      </c>
      <c r="D35" s="12">
        <f>D30</f>
        <v>1</v>
      </c>
      <c r="E35" s="12">
        <f>E30</f>
        <v>4</v>
      </c>
    </row>
    <row r="36" spans="1:6">
      <c r="A36" s="5" t="s">
        <v>49</v>
      </c>
      <c r="B36" s="12">
        <f>B31-(C31/C30)*B30</f>
        <v>0</v>
      </c>
      <c r="C36" s="12">
        <f>C31-(C31/C30)*C30</f>
        <v>0</v>
      </c>
      <c r="D36" s="12">
        <f>D31-(C31/C30)*D30</f>
        <v>11</v>
      </c>
      <c r="E36" s="12">
        <f>E31-(C31/C30)*E30</f>
        <v>11</v>
      </c>
      <c r="F36" s="5" t="s">
        <v>53</v>
      </c>
    </row>
    <row r="38" spans="1:6">
      <c r="A38" s="3" t="s">
        <v>54</v>
      </c>
    </row>
    <row r="39" spans="1:6">
      <c r="A39" s="5" t="s">
        <v>55</v>
      </c>
      <c r="B39" s="13">
        <f>E36/D36</f>
        <v>1</v>
      </c>
      <c r="C39" s="5" t="s">
        <v>56</v>
      </c>
    </row>
    <row r="40" spans="1:6">
      <c r="A40" s="5" t="s">
        <v>57</v>
      </c>
      <c r="B40" s="13">
        <f>E35-D35*B39</f>
        <v>3</v>
      </c>
      <c r="C40" s="5" t="s">
        <v>58</v>
      </c>
    </row>
    <row r="41" spans="1:6">
      <c r="A41" s="5" t="s">
        <v>59</v>
      </c>
      <c r="B41" s="13">
        <f>E34-C34*B40-D34*B39</f>
        <v>2</v>
      </c>
      <c r="C41" s="5" t="s">
        <v>60</v>
      </c>
    </row>
    <row r="43" spans="1:6">
      <c r="A43" s="3" t="s">
        <v>61</v>
      </c>
    </row>
    <row r="44" spans="1:6">
      <c r="A44" s="5" t="s">
        <v>62</v>
      </c>
      <c r="B44" s="5">
        <f>B41+B40+B39</f>
        <v>6</v>
      </c>
      <c r="C44" s="5" t="str">
        <f>IF(B44=B5,"ok","ERRO")</f>
        <v>ok</v>
      </c>
    </row>
    <row r="45" spans="1:6">
      <c r="A45" s="5" t="s">
        <v>63</v>
      </c>
      <c r="B45" s="5">
        <f>B8*B41+B9*B40+B10*B39</f>
        <v>69</v>
      </c>
      <c r="C45" s="5" t="str">
        <f>IF(B45=B6,"ok","ERRO")</f>
        <v>ok</v>
      </c>
    </row>
    <row r="46" spans="1:6">
      <c r="A46" s="5" t="s">
        <v>64</v>
      </c>
      <c r="B46" s="5">
        <f>B40+B39</f>
        <v>4</v>
      </c>
      <c r="C46" s="5" t="str">
        <f>IF(B46=B7,"ok","ERRO")</f>
        <v>ok</v>
      </c>
    </row>
    <row r="48" spans="1:6">
      <c r="A48" s="3" t="s">
        <v>65</v>
      </c>
    </row>
    <row r="49" spans="1:1">
      <c r="A49" s="3" t="str">
        <f>"Solução única: "&amp;B41&amp;" veículo(s) a 7 kW, "&amp;B40&amp;" a 11 kW e "&amp;B39&amp;" a 22 kW."</f>
        <v>Solução única: 2 veículo(s) a 7 kW, 3 a 11 kW e 1 a 22 kW.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2026-10-23T00:12:11Z</dcterms:created>
  <dcterms:modified xsi:type="dcterms:W3CDTF">2026-10-23T00:27:01Z</dcterms:modified>
  <cp:category/>
  <cp:contentStatus/>
</cp:coreProperties>
</file>